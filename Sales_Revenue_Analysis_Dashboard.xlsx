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EC2F30FF53423F8/"/>
    </mc:Choice>
  </mc:AlternateContent>
  <xr:revisionPtr revIDLastSave="4" documentId="8_{2F8B1D3E-CF33-4227-A937-E87805C034EF}" xr6:coauthVersionLast="47" xr6:coauthVersionMax="47" xr10:uidLastSave="{6E0A4C76-27F1-40BA-928C-9545CFDB5423}"/>
  <bookViews>
    <workbookView xWindow="11424" yWindow="0" windowWidth="11712" windowHeight="12336" firstSheet="3" activeTab="5" xr2:uid="{F3F7594D-E5F7-4CBB-BEE9-10570D53D7A4}"/>
  </bookViews>
  <sheets>
    <sheet name="Sheet3" sheetId="3" r:id="rId1"/>
    <sheet name="Sheet4" sheetId="4" r:id="rId2"/>
    <sheet name="Sheet5" sheetId="5" r:id="rId3"/>
    <sheet name="Sheet6" sheetId="6" r:id="rId4"/>
    <sheet name="Sheet1" sheetId="1" r:id="rId5"/>
    <sheet name="Dashboard" sheetId="2" r:id="rId6"/>
  </sheets>
  <definedNames>
    <definedName name="Slicer_Product">#N/A</definedName>
    <definedName name="Slicer_Region">#N/A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F3" i="2"/>
  <c r="D3" i="2"/>
</calcChain>
</file>

<file path=xl/sharedStrings.xml><?xml version="1.0" encoding="utf-8"?>
<sst xmlns="http://schemas.openxmlformats.org/spreadsheetml/2006/main" count="157" uniqueCount="23">
  <si>
    <t>Order ID</t>
  </si>
  <si>
    <t>Date</t>
  </si>
  <si>
    <t>Product</t>
  </si>
  <si>
    <t>Region</t>
  </si>
  <si>
    <t>Quantity</t>
  </si>
  <si>
    <t>Sales</t>
  </si>
  <si>
    <t>Profit</t>
  </si>
  <si>
    <t>Laptop</t>
  </si>
  <si>
    <t>South</t>
  </si>
  <si>
    <t>Mouse</t>
  </si>
  <si>
    <t>North</t>
  </si>
  <si>
    <t>Keyboard</t>
  </si>
  <si>
    <t>East</t>
  </si>
  <si>
    <t>Monitor</t>
  </si>
  <si>
    <t>West</t>
  </si>
  <si>
    <t>Printer</t>
  </si>
  <si>
    <t>Total Sales</t>
  </si>
  <si>
    <t>Total Profit</t>
  </si>
  <si>
    <t>Total Orders</t>
  </si>
  <si>
    <t>Row Labels</t>
  </si>
  <si>
    <t>Grand Total</t>
  </si>
  <si>
    <t>Sum of Sales</t>
  </si>
  <si>
    <t xml:space="preserve">     SALES &amp; REVENUE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</si>
</sst>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24"/>
      <color theme="8"/>
      <name val="Calibri"/>
      <family val="2"/>
      <scheme val="minor"/>
    </font>
    <font>
      <b/>
      <sz val="10"/>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7">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vertical="center"/>
    </xf>
    <xf numFmtId="0" fontId="0" fillId="0" borderId="0" xfId="0" applyAlignment="1">
      <alignment horizontal="center"/>
    </xf>
    <xf numFmtId="0" fontId="0" fillId="2" borderId="0" xfId="0" applyFill="1" applyAlignment="1">
      <alignment horizontal="center"/>
    </xf>
    <xf numFmtId="0" fontId="1" fillId="3" borderId="0" xfId="0" applyFont="1" applyFill="1" applyAlignment="1">
      <alignment horizontal="center"/>
    </xf>
    <xf numFmtId="0" fontId="4" fillId="3" borderId="0" xfId="0" applyFont="1" applyFill="1" applyAlignment="1">
      <alignment horizontal="center"/>
    </xf>
    <xf numFmtId="0" fontId="4" fillId="4" borderId="0" xfId="0" applyFont="1" applyFill="1" applyAlignment="1">
      <alignment horizontal="center" vertical="center"/>
    </xf>
    <xf numFmtId="0" fontId="3" fillId="4" borderId="0" xfId="0" applyFont="1" applyFill="1" applyAlignment="1">
      <alignment horizontal="center" vertical="center"/>
    </xf>
    <xf numFmtId="0" fontId="4" fillId="5" borderId="0" xfId="0" applyFont="1" applyFill="1" applyAlignment="1">
      <alignment horizontal="center"/>
    </xf>
    <xf numFmtId="0" fontId="1" fillId="5" borderId="0" xfId="0" applyFont="1" applyFill="1"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0" fillId="2" borderId="0" xfId="0" applyNumberFormat="1" applyFill="1" applyAlignment="1">
      <alignment horizontal="center"/>
    </xf>
  </cellXfs>
  <cellStyles count="1">
    <cellStyle name="Normal" xfId="0" builtinId="0"/>
  </cellStyles>
  <dxfs count="244">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[Sales_Revenue_Analysis_Dashboard.xlsx]Sheet3!PivotTable1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8100</c:v>
                </c:pt>
                <c:pt idx="1">
                  <c:v>7200</c:v>
                </c:pt>
                <c:pt idx="2">
                  <c:v>10550</c:v>
                </c:pt>
                <c:pt idx="3">
                  <c:v>6250</c:v>
                </c:pt>
              </c:numCache>
            </c:numRef>
          </c:val>
          <c:extLst>
            <c:ext xmlns:c16="http://schemas.microsoft.com/office/drawing/2014/chart" uri="{C3380CC4-5D6E-409C-BE32-E72D297353CC}">
              <c16:uniqueId val="{00000000-7712-4470-A09E-E6A68E36856D}"/>
            </c:ext>
          </c:extLst>
        </c:ser>
        <c:dLbls>
          <c:dLblPos val="inEnd"/>
          <c:showLegendKey val="0"/>
          <c:showVal val="1"/>
          <c:showCatName val="0"/>
          <c:showSerName val="0"/>
          <c:showPercent val="0"/>
          <c:showBubbleSize val="0"/>
        </c:dLbls>
        <c:gapWidth val="65"/>
        <c:axId val="726087456"/>
        <c:axId val="726083616"/>
      </c:barChart>
      <c:catAx>
        <c:axId val="726087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6083616"/>
        <c:crosses val="autoZero"/>
        <c:auto val="1"/>
        <c:lblAlgn val="ctr"/>
        <c:lblOffset val="100"/>
        <c:noMultiLvlLbl val="0"/>
      </c:catAx>
      <c:valAx>
        <c:axId val="7260836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260874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[Sales_Revenue_Analysis_Dashboard.xlsx]Sheet5!PivotTable2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37800488480606592"/>
          <c:w val="0.74845603674540684"/>
          <c:h val="0.53774387576552929"/>
        </c:manualLayout>
      </c:layout>
      <c:barChart>
        <c:barDir val="col"/>
        <c:grouping val="clustered"/>
        <c:varyColors val="0"/>
        <c:ser>
          <c:idx val="0"/>
          <c:order val="0"/>
          <c:tx>
            <c:strRef>
              <c:f>Sheet5!$B$3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Sheet5!$A$4:$A$9</c:f>
              <c:strCache>
                <c:ptCount val="5"/>
                <c:pt idx="0">
                  <c:v>Keyboard</c:v>
                </c:pt>
                <c:pt idx="1">
                  <c:v>Laptop</c:v>
                </c:pt>
                <c:pt idx="2">
                  <c:v>Monitor</c:v>
                </c:pt>
                <c:pt idx="3">
                  <c:v>Mouse</c:v>
                </c:pt>
                <c:pt idx="4">
                  <c:v>Printer</c:v>
                </c:pt>
              </c:strCache>
            </c:strRef>
          </c:cat>
          <c:val>
            <c:numRef>
              <c:f>Sheet5!$B$4:$B$9</c:f>
              <c:numCache>
                <c:formatCode>General</c:formatCode>
                <c:ptCount val="5"/>
                <c:pt idx="0">
                  <c:v>4100</c:v>
                </c:pt>
                <c:pt idx="1">
                  <c:v>12000</c:v>
                </c:pt>
                <c:pt idx="2">
                  <c:v>7500</c:v>
                </c:pt>
                <c:pt idx="3">
                  <c:v>2500</c:v>
                </c:pt>
                <c:pt idx="4">
                  <c:v>6000</c:v>
                </c:pt>
              </c:numCache>
            </c:numRef>
          </c:val>
          <c:extLst>
            <c:ext xmlns:c16="http://schemas.microsoft.com/office/drawing/2014/chart" uri="{C3380CC4-5D6E-409C-BE32-E72D297353CC}">
              <c16:uniqueId val="{00000000-8106-4DEA-A991-1BDE0D34360B}"/>
            </c:ext>
          </c:extLst>
        </c:ser>
        <c:dLbls>
          <c:dLblPos val="inEnd"/>
          <c:showLegendKey val="0"/>
          <c:showVal val="1"/>
          <c:showCatName val="0"/>
          <c:showSerName val="0"/>
          <c:showPercent val="0"/>
          <c:showBubbleSize val="0"/>
        </c:dLbls>
        <c:gapWidth val="65"/>
        <c:axId val="600659584"/>
        <c:axId val="912480400"/>
      </c:barChart>
      <c:catAx>
        <c:axId val="600659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2480400"/>
        <c:crosses val="autoZero"/>
        <c:auto val="1"/>
        <c:lblAlgn val="ctr"/>
        <c:lblOffset val="100"/>
        <c:noMultiLvlLbl val="0"/>
      </c:catAx>
      <c:valAx>
        <c:axId val="912480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00659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[Sales_Revenue_Analysis_Dashboard.xlsx]Sheet6!PivotTable5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Products by Sales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Sheet6!$A$4:$A$9</c:f>
              <c:strCache>
                <c:ptCount val="5"/>
                <c:pt idx="0">
                  <c:v>Keyboard</c:v>
                </c:pt>
                <c:pt idx="1">
                  <c:v>Laptop</c:v>
                </c:pt>
                <c:pt idx="2">
                  <c:v>Monitor</c:v>
                </c:pt>
                <c:pt idx="3">
                  <c:v>Mouse</c:v>
                </c:pt>
                <c:pt idx="4">
                  <c:v>Printer</c:v>
                </c:pt>
              </c:strCache>
            </c:strRef>
          </c:cat>
          <c:val>
            <c:numRef>
              <c:f>Sheet6!$B$4:$B$9</c:f>
              <c:numCache>
                <c:formatCode>General</c:formatCode>
                <c:ptCount val="5"/>
                <c:pt idx="0">
                  <c:v>4100</c:v>
                </c:pt>
                <c:pt idx="1">
                  <c:v>12000</c:v>
                </c:pt>
                <c:pt idx="2">
                  <c:v>7500</c:v>
                </c:pt>
                <c:pt idx="3">
                  <c:v>2500</c:v>
                </c:pt>
                <c:pt idx="4">
                  <c:v>6000</c:v>
                </c:pt>
              </c:numCache>
            </c:numRef>
          </c:val>
          <c:extLst>
            <c:ext xmlns:c16="http://schemas.microsoft.com/office/drawing/2014/chart" uri="{C3380CC4-5D6E-409C-BE32-E72D297353CC}">
              <c16:uniqueId val="{00000000-DF3E-4DE8-A3EB-E4A77F1854D8}"/>
            </c:ext>
          </c:extLst>
        </c:ser>
        <c:dLbls>
          <c:dLblPos val="inEnd"/>
          <c:showLegendKey val="0"/>
          <c:showVal val="1"/>
          <c:showCatName val="0"/>
          <c:showSerName val="0"/>
          <c:showPercent val="0"/>
          <c:showBubbleSize val="0"/>
        </c:dLbls>
        <c:gapWidth val="65"/>
        <c:axId val="873846368"/>
        <c:axId val="873848768"/>
      </c:barChart>
      <c:catAx>
        <c:axId val="8738463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3848768"/>
        <c:crosses val="autoZero"/>
        <c:auto val="1"/>
        <c:lblAlgn val="ctr"/>
        <c:lblOffset val="100"/>
        <c:noMultiLvlLbl val="0"/>
      </c:catAx>
      <c:valAx>
        <c:axId val="8738487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738463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[Sales_Revenue_Analysis_Dashboard.xlsx]Sheet5!PivotTable2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Product Sales Overview</a:t>
            </a:r>
            <a:endParaRPr lang="en-US"/>
          </a:p>
        </c:rich>
      </c:tx>
      <c:layout>
        <c:manualLayout>
          <c:xMode val="edge"/>
          <c:yMode val="edge"/>
          <c:x val="0.27969776465412088"/>
          <c:y val="0.146797107920471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89179622661854E-2"/>
          <c:y val="0.36199614780042677"/>
          <c:w val="0.74845603674540684"/>
          <c:h val="0.53774387576552929"/>
        </c:manualLayout>
      </c:layout>
      <c:barChart>
        <c:barDir val="col"/>
        <c:grouping val="clustered"/>
        <c:varyColors val="0"/>
        <c:ser>
          <c:idx val="0"/>
          <c:order val="0"/>
          <c:tx>
            <c:strRef>
              <c:f>Sheet5!$B$3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Sheet5!$A$4:$A$9</c:f>
              <c:strCache>
                <c:ptCount val="5"/>
                <c:pt idx="0">
                  <c:v>Keyboard</c:v>
                </c:pt>
                <c:pt idx="1">
                  <c:v>Laptop</c:v>
                </c:pt>
                <c:pt idx="2">
                  <c:v>Monitor</c:v>
                </c:pt>
                <c:pt idx="3">
                  <c:v>Mouse</c:v>
                </c:pt>
                <c:pt idx="4">
                  <c:v>Printer</c:v>
                </c:pt>
              </c:strCache>
            </c:strRef>
          </c:cat>
          <c:val>
            <c:numRef>
              <c:f>Sheet5!$B$4:$B$9</c:f>
              <c:numCache>
                <c:formatCode>General</c:formatCode>
                <c:ptCount val="5"/>
                <c:pt idx="0">
                  <c:v>4100</c:v>
                </c:pt>
                <c:pt idx="1">
                  <c:v>12000</c:v>
                </c:pt>
                <c:pt idx="2">
                  <c:v>7500</c:v>
                </c:pt>
                <c:pt idx="3">
                  <c:v>2500</c:v>
                </c:pt>
                <c:pt idx="4">
                  <c:v>6000</c:v>
                </c:pt>
              </c:numCache>
            </c:numRef>
          </c:val>
          <c:extLst>
            <c:ext xmlns:c16="http://schemas.microsoft.com/office/drawing/2014/chart" uri="{C3380CC4-5D6E-409C-BE32-E72D297353CC}">
              <c16:uniqueId val="{00000000-A35D-4AF0-804B-33D5FBC34DAD}"/>
            </c:ext>
          </c:extLst>
        </c:ser>
        <c:dLbls>
          <c:dLblPos val="inEnd"/>
          <c:showLegendKey val="0"/>
          <c:showVal val="1"/>
          <c:showCatName val="0"/>
          <c:showSerName val="0"/>
          <c:showPercent val="0"/>
          <c:showBubbleSize val="0"/>
        </c:dLbls>
        <c:gapWidth val="65"/>
        <c:axId val="600659584"/>
        <c:axId val="912480400"/>
      </c:barChart>
      <c:catAx>
        <c:axId val="600659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2480400"/>
        <c:crosses val="autoZero"/>
        <c:auto val="1"/>
        <c:lblAlgn val="ctr"/>
        <c:lblOffset val="100"/>
        <c:noMultiLvlLbl val="0"/>
      </c:catAx>
      <c:valAx>
        <c:axId val="912480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00659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[Sales_Revenue_Analysis_Dashboard.xlsx]Sheet3!PivotTable1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39347033633268E-2"/>
          <c:y val="0.28233447095695308"/>
          <c:w val="0.85557385465296809"/>
          <c:h val="0.54335952694266032"/>
        </c:manualLayout>
      </c:layout>
      <c:barChart>
        <c:barDir val="col"/>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8100</c:v>
                </c:pt>
                <c:pt idx="1">
                  <c:v>7200</c:v>
                </c:pt>
                <c:pt idx="2">
                  <c:v>10550</c:v>
                </c:pt>
                <c:pt idx="3">
                  <c:v>6250</c:v>
                </c:pt>
              </c:numCache>
            </c:numRef>
          </c:val>
          <c:extLst>
            <c:ext xmlns:c16="http://schemas.microsoft.com/office/drawing/2014/chart" uri="{C3380CC4-5D6E-409C-BE32-E72D297353CC}">
              <c16:uniqueId val="{00000000-1DE4-4FE3-984F-41D064DE1B6F}"/>
            </c:ext>
          </c:extLst>
        </c:ser>
        <c:dLbls>
          <c:dLblPos val="inEnd"/>
          <c:showLegendKey val="0"/>
          <c:showVal val="1"/>
          <c:showCatName val="0"/>
          <c:showSerName val="0"/>
          <c:showPercent val="0"/>
          <c:showBubbleSize val="0"/>
        </c:dLbls>
        <c:gapWidth val="65"/>
        <c:axId val="726087456"/>
        <c:axId val="726083616"/>
      </c:barChart>
      <c:catAx>
        <c:axId val="726087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6083616"/>
        <c:crosses val="autoZero"/>
        <c:auto val="1"/>
        <c:lblAlgn val="ctr"/>
        <c:lblOffset val="100"/>
        <c:noMultiLvlLbl val="0"/>
      </c:catAx>
      <c:valAx>
        <c:axId val="7260836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260874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[Sales_Revenue_Analysis_Dashboard.xlsx]Sheet6!PivotTable5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Products by Sales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07110392205953E-2"/>
          <c:y val="0.28229493437143982"/>
          <c:w val="0.85165574606769789"/>
          <c:h val="0.51742034684320726"/>
        </c:manualLayout>
      </c:layout>
      <c:barChart>
        <c:barDir val="col"/>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Sheet6!$A$4:$A$9</c:f>
              <c:strCache>
                <c:ptCount val="5"/>
                <c:pt idx="0">
                  <c:v>Keyboard</c:v>
                </c:pt>
                <c:pt idx="1">
                  <c:v>Laptop</c:v>
                </c:pt>
                <c:pt idx="2">
                  <c:v>Monitor</c:v>
                </c:pt>
                <c:pt idx="3">
                  <c:v>Mouse</c:v>
                </c:pt>
                <c:pt idx="4">
                  <c:v>Printer</c:v>
                </c:pt>
              </c:strCache>
            </c:strRef>
          </c:cat>
          <c:val>
            <c:numRef>
              <c:f>Sheet6!$B$4:$B$9</c:f>
              <c:numCache>
                <c:formatCode>General</c:formatCode>
                <c:ptCount val="5"/>
                <c:pt idx="0">
                  <c:v>4100</c:v>
                </c:pt>
                <c:pt idx="1">
                  <c:v>12000</c:v>
                </c:pt>
                <c:pt idx="2">
                  <c:v>7500</c:v>
                </c:pt>
                <c:pt idx="3">
                  <c:v>2500</c:v>
                </c:pt>
                <c:pt idx="4">
                  <c:v>6000</c:v>
                </c:pt>
              </c:numCache>
            </c:numRef>
          </c:val>
          <c:extLst>
            <c:ext xmlns:c16="http://schemas.microsoft.com/office/drawing/2014/chart" uri="{C3380CC4-5D6E-409C-BE32-E72D297353CC}">
              <c16:uniqueId val="{00000000-8286-40D2-B06F-AAC83E0ECBC6}"/>
            </c:ext>
          </c:extLst>
        </c:ser>
        <c:dLbls>
          <c:dLblPos val="inEnd"/>
          <c:showLegendKey val="0"/>
          <c:showVal val="1"/>
          <c:showCatName val="0"/>
          <c:showSerName val="0"/>
          <c:showPercent val="0"/>
          <c:showBubbleSize val="0"/>
        </c:dLbls>
        <c:gapWidth val="65"/>
        <c:axId val="873846368"/>
        <c:axId val="873848768"/>
      </c:barChart>
      <c:catAx>
        <c:axId val="8738463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3848768"/>
        <c:crosses val="autoZero"/>
        <c:auto val="1"/>
        <c:lblAlgn val="ctr"/>
        <c:lblOffset val="100"/>
        <c:noMultiLvlLbl val="0"/>
      </c:catAx>
      <c:valAx>
        <c:axId val="8738487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738463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18142</xdr:rowOff>
    </xdr:from>
    <xdr:to>
      <xdr:col>6</xdr:col>
      <xdr:colOff>472440</xdr:colOff>
      <xdr:row>27</xdr:row>
      <xdr:rowOff>0</xdr:rowOff>
    </xdr:to>
    <xdr:graphicFrame macro="">
      <xdr:nvGraphicFramePr>
        <xdr:cNvPr id="2" name="Chart 1">
          <a:extLst>
            <a:ext uri="{FF2B5EF4-FFF2-40B4-BE49-F238E27FC236}">
              <a16:creationId xmlns:a16="http://schemas.microsoft.com/office/drawing/2014/main" id="{EE0E34AC-F119-27B2-BE5C-6E53D919E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19050</xdr:rowOff>
    </xdr:from>
    <xdr:to>
      <xdr:col>6</xdr:col>
      <xdr:colOff>472440</xdr:colOff>
      <xdr:row>25</xdr:row>
      <xdr:rowOff>19050</xdr:rowOff>
    </xdr:to>
    <xdr:graphicFrame macro="">
      <xdr:nvGraphicFramePr>
        <xdr:cNvPr id="2" name="Chart 1">
          <a:extLst>
            <a:ext uri="{FF2B5EF4-FFF2-40B4-BE49-F238E27FC236}">
              <a16:creationId xmlns:a16="http://schemas.microsoft.com/office/drawing/2014/main" id="{C4569BCD-DFCF-C38E-181E-12F6BF0D9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171450</xdr:rowOff>
    </xdr:from>
    <xdr:to>
      <xdr:col>6</xdr:col>
      <xdr:colOff>472440</xdr:colOff>
      <xdr:row>25</xdr:row>
      <xdr:rowOff>171450</xdr:rowOff>
    </xdr:to>
    <xdr:graphicFrame macro="">
      <xdr:nvGraphicFramePr>
        <xdr:cNvPr id="2" name="Chart 1">
          <a:extLst>
            <a:ext uri="{FF2B5EF4-FFF2-40B4-BE49-F238E27FC236}">
              <a16:creationId xmlns:a16="http://schemas.microsoft.com/office/drawing/2014/main" id="{AF1D2EC8-AED7-90D8-547C-715625F90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870963</xdr:colOff>
      <xdr:row>17</xdr:row>
      <xdr:rowOff>122841</xdr:rowOff>
    </xdr:from>
    <xdr:to>
      <xdr:col>8</xdr:col>
      <xdr:colOff>248093</xdr:colOff>
      <xdr:row>35</xdr:row>
      <xdr:rowOff>106325</xdr:rowOff>
    </xdr:to>
    <xdr:graphicFrame macro="">
      <xdr:nvGraphicFramePr>
        <xdr:cNvPr id="2" name="Chart 1">
          <a:extLst>
            <a:ext uri="{FF2B5EF4-FFF2-40B4-BE49-F238E27FC236}">
              <a16:creationId xmlns:a16="http://schemas.microsoft.com/office/drawing/2014/main" id="{059AF643-9319-4943-9A08-CF55B023F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903768</xdr:colOff>
      <xdr:row>38</xdr:row>
      <xdr:rowOff>93223</xdr:rowOff>
    </xdr:from>
    <xdr:to>
      <xdr:col>8</xdr:col>
      <xdr:colOff>313015</xdr:colOff>
      <xdr:row>56</xdr:row>
      <xdr:rowOff>70884</xdr:rowOff>
    </xdr:to>
    <xdr:graphicFrame macro="">
      <xdr:nvGraphicFramePr>
        <xdr:cNvPr id="3" name="Chart 2">
          <a:extLst>
            <a:ext uri="{FF2B5EF4-FFF2-40B4-BE49-F238E27FC236}">
              <a16:creationId xmlns:a16="http://schemas.microsoft.com/office/drawing/2014/main" id="{052F482D-2AC5-4C90-92B8-F88A98B83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964100</xdr:colOff>
      <xdr:row>60</xdr:row>
      <xdr:rowOff>7526</xdr:rowOff>
    </xdr:from>
    <xdr:to>
      <xdr:col>8</xdr:col>
      <xdr:colOff>75645</xdr:colOff>
      <xdr:row>75</xdr:row>
      <xdr:rowOff>167285</xdr:rowOff>
    </xdr:to>
    <xdr:graphicFrame macro="">
      <xdr:nvGraphicFramePr>
        <xdr:cNvPr id="4" name="Chart 3">
          <a:extLst>
            <a:ext uri="{FF2B5EF4-FFF2-40B4-BE49-F238E27FC236}">
              <a16:creationId xmlns:a16="http://schemas.microsoft.com/office/drawing/2014/main" id="{AFCE418A-1990-46AE-8908-6F2ADA64A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876477</xdr:colOff>
      <xdr:row>6</xdr:row>
      <xdr:rowOff>20734</xdr:rowOff>
    </xdr:from>
    <xdr:to>
      <xdr:col>2</xdr:col>
      <xdr:colOff>72716</xdr:colOff>
      <xdr:row>16</xdr:row>
      <xdr:rowOff>83643</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23F73B82-70AC-BD68-B132-7BBC20A8F61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76477" y="1372206"/>
              <a:ext cx="1827296" cy="1931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1063523</xdr:colOff>
      <xdr:row>6</xdr:row>
      <xdr:rowOff>66856</xdr:rowOff>
    </xdr:from>
    <xdr:to>
      <xdr:col>4</xdr:col>
      <xdr:colOff>7999</xdr:colOff>
      <xdr:row>16</xdr:row>
      <xdr:rowOff>89716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8625D3C8-B36B-4132-5B82-58B4332FDD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94580" y="1418328"/>
              <a:ext cx="1906211" cy="1891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sundhara dwibhasyam" refreshedDate="46185.865682754629" createdVersion="8" refreshedVersion="8" minRefreshableVersion="3" recordCount="50" xr:uid="{680BC77B-0092-492A-9551-6D100ADC3E92}">
  <cacheSource type="worksheet">
    <worksheetSource name="Table1"/>
  </cacheSource>
  <cacheFields count="7">
    <cacheField name="Order ID" numFmtId="0">
      <sharedItems containsSemiMixedTypes="0" containsString="0" containsNumber="1" containsInteger="1" minValue="1001" maxValue="1050"/>
    </cacheField>
    <cacheField name="Date" numFmtId="15">
      <sharedItems containsSemiMixedTypes="0" containsNonDate="0" containsDate="1" containsString="0" minDate="2025-01-01T00:00:00" maxDate="2025-05-28T00:00:00"/>
    </cacheField>
    <cacheField name="Product" numFmtId="0">
      <sharedItems count="5">
        <s v="Laptop"/>
        <s v="Mouse"/>
        <s v="Keyboard"/>
        <s v="Monitor"/>
        <s v="Printer"/>
      </sharedItems>
    </cacheField>
    <cacheField name="Region" numFmtId="0">
      <sharedItems count="4">
        <s v="South"/>
        <s v="North"/>
        <s v="East"/>
        <s v="West"/>
      </sharedItems>
    </cacheField>
    <cacheField name="Quantity" numFmtId="0">
      <sharedItems containsSemiMixedTypes="0" containsString="0" containsNumber="1" containsInteger="1" minValue="1" maxValue="6"/>
    </cacheField>
    <cacheField name="Sales" numFmtId="0">
      <sharedItems containsSemiMixedTypes="0" containsString="0" containsNumber="1" containsInteger="1" minValue="200" maxValue="1500"/>
    </cacheField>
    <cacheField name="Profit" numFmtId="0">
      <sharedItems containsSemiMixedTypes="0" containsString="0" containsNumber="1" containsInteger="1" minValue="60" maxValue="300"/>
    </cacheField>
  </cacheFields>
  <extLst>
    <ext xmlns:x14="http://schemas.microsoft.com/office/spreadsheetml/2009/9/main" uri="{725AE2AE-9491-48be-B2B4-4EB974FC3084}">
      <x14:pivotCacheDefinition pivotCacheId="854191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5-01-01T00:00:00"/>
    <x v="0"/>
    <x v="0"/>
    <n v="2"/>
    <n v="1000"/>
    <n v="200"/>
  </r>
  <r>
    <n v="1002"/>
    <d v="2025-01-03T00:00:00"/>
    <x v="1"/>
    <x v="1"/>
    <n v="5"/>
    <n v="250"/>
    <n v="75"/>
  </r>
  <r>
    <n v="1003"/>
    <d v="2025-01-05T00:00:00"/>
    <x v="2"/>
    <x v="2"/>
    <n v="3"/>
    <n v="300"/>
    <n v="90"/>
  </r>
  <r>
    <n v="1004"/>
    <d v="2025-01-07T00:00:00"/>
    <x v="3"/>
    <x v="3"/>
    <n v="1"/>
    <n v="500"/>
    <n v="120"/>
  </r>
  <r>
    <n v="1005"/>
    <d v="2025-01-10T00:00:00"/>
    <x v="4"/>
    <x v="0"/>
    <n v="2"/>
    <n v="800"/>
    <n v="160"/>
  </r>
  <r>
    <n v="1006"/>
    <d v="2025-01-12T00:00:00"/>
    <x v="0"/>
    <x v="1"/>
    <n v="3"/>
    <n v="1500"/>
    <n v="300"/>
  </r>
  <r>
    <n v="1007"/>
    <d v="2025-01-15T00:00:00"/>
    <x v="1"/>
    <x v="2"/>
    <n v="4"/>
    <n v="200"/>
    <n v="60"/>
  </r>
  <r>
    <n v="1008"/>
    <d v="2025-01-18T00:00:00"/>
    <x v="2"/>
    <x v="3"/>
    <n v="5"/>
    <n v="500"/>
    <n v="150"/>
  </r>
  <r>
    <n v="1009"/>
    <d v="2025-01-20T00:00:00"/>
    <x v="3"/>
    <x v="0"/>
    <n v="2"/>
    <n v="1000"/>
    <n v="240"/>
  </r>
  <r>
    <n v="1010"/>
    <d v="2025-01-22T00:00:00"/>
    <x v="4"/>
    <x v="1"/>
    <n v="1"/>
    <n v="400"/>
    <n v="80"/>
  </r>
  <r>
    <n v="1011"/>
    <d v="2025-01-25T00:00:00"/>
    <x v="0"/>
    <x v="2"/>
    <n v="2"/>
    <n v="1000"/>
    <n v="200"/>
  </r>
  <r>
    <n v="1012"/>
    <d v="2025-01-28T00:00:00"/>
    <x v="1"/>
    <x v="3"/>
    <n v="6"/>
    <n v="300"/>
    <n v="90"/>
  </r>
  <r>
    <n v="1013"/>
    <d v="2025-02-02T00:00:00"/>
    <x v="2"/>
    <x v="0"/>
    <n v="4"/>
    <n v="400"/>
    <n v="120"/>
  </r>
  <r>
    <n v="1014"/>
    <d v="2025-02-05T00:00:00"/>
    <x v="3"/>
    <x v="1"/>
    <n v="1"/>
    <n v="500"/>
    <n v="120"/>
  </r>
  <r>
    <n v="1015"/>
    <d v="2025-02-08T00:00:00"/>
    <x v="4"/>
    <x v="2"/>
    <n v="2"/>
    <n v="800"/>
    <n v="160"/>
  </r>
  <r>
    <n v="1016"/>
    <d v="2025-02-11T00:00:00"/>
    <x v="0"/>
    <x v="3"/>
    <n v="2"/>
    <n v="1000"/>
    <n v="200"/>
  </r>
  <r>
    <n v="1017"/>
    <d v="2025-02-14T00:00:00"/>
    <x v="1"/>
    <x v="0"/>
    <n v="5"/>
    <n v="250"/>
    <n v="75"/>
  </r>
  <r>
    <n v="1018"/>
    <d v="2025-02-17T00:00:00"/>
    <x v="2"/>
    <x v="1"/>
    <n v="3"/>
    <n v="300"/>
    <n v="90"/>
  </r>
  <r>
    <n v="1019"/>
    <d v="2025-02-20T00:00:00"/>
    <x v="3"/>
    <x v="2"/>
    <n v="2"/>
    <n v="1000"/>
    <n v="240"/>
  </r>
  <r>
    <n v="1020"/>
    <d v="2025-02-23T00:00:00"/>
    <x v="4"/>
    <x v="3"/>
    <n v="1"/>
    <n v="400"/>
    <n v="80"/>
  </r>
  <r>
    <n v="1021"/>
    <d v="2025-02-26T00:00:00"/>
    <x v="0"/>
    <x v="0"/>
    <n v="3"/>
    <n v="1500"/>
    <n v="300"/>
  </r>
  <r>
    <n v="1022"/>
    <d v="2025-03-01T00:00:00"/>
    <x v="1"/>
    <x v="1"/>
    <n v="4"/>
    <n v="200"/>
    <n v="60"/>
  </r>
  <r>
    <n v="1023"/>
    <d v="2025-03-04T00:00:00"/>
    <x v="2"/>
    <x v="2"/>
    <n v="5"/>
    <n v="500"/>
    <n v="150"/>
  </r>
  <r>
    <n v="1024"/>
    <d v="2025-03-07T00:00:00"/>
    <x v="3"/>
    <x v="3"/>
    <n v="1"/>
    <n v="500"/>
    <n v="120"/>
  </r>
  <r>
    <n v="1025"/>
    <d v="2025-03-10T00:00:00"/>
    <x v="4"/>
    <x v="0"/>
    <n v="2"/>
    <n v="800"/>
    <n v="160"/>
  </r>
  <r>
    <n v="1026"/>
    <d v="2025-03-13T00:00:00"/>
    <x v="0"/>
    <x v="1"/>
    <n v="2"/>
    <n v="1000"/>
    <n v="200"/>
  </r>
  <r>
    <n v="1027"/>
    <d v="2025-03-16T00:00:00"/>
    <x v="1"/>
    <x v="2"/>
    <n v="6"/>
    <n v="300"/>
    <n v="90"/>
  </r>
  <r>
    <n v="1028"/>
    <d v="2025-03-19T00:00:00"/>
    <x v="2"/>
    <x v="3"/>
    <n v="4"/>
    <n v="400"/>
    <n v="120"/>
  </r>
  <r>
    <n v="1029"/>
    <d v="2025-03-22T00:00:00"/>
    <x v="3"/>
    <x v="0"/>
    <n v="2"/>
    <n v="1000"/>
    <n v="240"/>
  </r>
  <r>
    <n v="1030"/>
    <d v="2025-03-25T00:00:00"/>
    <x v="4"/>
    <x v="1"/>
    <n v="1"/>
    <n v="400"/>
    <n v="80"/>
  </r>
  <r>
    <n v="1031"/>
    <d v="2025-03-28T00:00:00"/>
    <x v="0"/>
    <x v="2"/>
    <n v="3"/>
    <n v="1500"/>
    <n v="300"/>
  </r>
  <r>
    <n v="1032"/>
    <d v="2025-04-02T00:00:00"/>
    <x v="1"/>
    <x v="3"/>
    <n v="5"/>
    <n v="250"/>
    <n v="75"/>
  </r>
  <r>
    <n v="1033"/>
    <d v="2025-04-05T00:00:00"/>
    <x v="2"/>
    <x v="0"/>
    <n v="3"/>
    <n v="300"/>
    <n v="90"/>
  </r>
  <r>
    <n v="1034"/>
    <d v="2025-04-08T00:00:00"/>
    <x v="3"/>
    <x v="1"/>
    <n v="1"/>
    <n v="500"/>
    <n v="120"/>
  </r>
  <r>
    <n v="1035"/>
    <d v="2025-04-11T00:00:00"/>
    <x v="4"/>
    <x v="2"/>
    <n v="2"/>
    <n v="800"/>
    <n v="160"/>
  </r>
  <r>
    <n v="1036"/>
    <d v="2025-04-14T00:00:00"/>
    <x v="0"/>
    <x v="3"/>
    <n v="2"/>
    <n v="1000"/>
    <n v="200"/>
  </r>
  <r>
    <n v="1037"/>
    <d v="2025-04-17T00:00:00"/>
    <x v="1"/>
    <x v="0"/>
    <n v="4"/>
    <n v="200"/>
    <n v="60"/>
  </r>
  <r>
    <n v="1038"/>
    <d v="2025-04-20T00:00:00"/>
    <x v="2"/>
    <x v="1"/>
    <n v="5"/>
    <n v="500"/>
    <n v="150"/>
  </r>
  <r>
    <n v="1039"/>
    <d v="2025-04-23T00:00:00"/>
    <x v="3"/>
    <x v="2"/>
    <n v="2"/>
    <n v="1000"/>
    <n v="240"/>
  </r>
  <r>
    <n v="1040"/>
    <d v="2025-04-26T00:00:00"/>
    <x v="4"/>
    <x v="3"/>
    <n v="1"/>
    <n v="400"/>
    <n v="80"/>
  </r>
  <r>
    <n v="1041"/>
    <d v="2025-04-29T00:00:00"/>
    <x v="0"/>
    <x v="0"/>
    <n v="3"/>
    <n v="1500"/>
    <n v="300"/>
  </r>
  <r>
    <n v="1042"/>
    <d v="2025-05-03T00:00:00"/>
    <x v="1"/>
    <x v="1"/>
    <n v="5"/>
    <n v="250"/>
    <n v="75"/>
  </r>
  <r>
    <n v="1043"/>
    <d v="2025-05-06T00:00:00"/>
    <x v="2"/>
    <x v="2"/>
    <n v="4"/>
    <n v="400"/>
    <n v="120"/>
  </r>
  <r>
    <n v="1044"/>
    <d v="2025-05-09T00:00:00"/>
    <x v="3"/>
    <x v="3"/>
    <n v="1"/>
    <n v="500"/>
    <n v="120"/>
  </r>
  <r>
    <n v="1045"/>
    <d v="2025-05-12T00:00:00"/>
    <x v="4"/>
    <x v="0"/>
    <n v="2"/>
    <n v="800"/>
    <n v="160"/>
  </r>
  <r>
    <n v="1046"/>
    <d v="2025-05-15T00:00:00"/>
    <x v="0"/>
    <x v="1"/>
    <n v="2"/>
    <n v="1000"/>
    <n v="200"/>
  </r>
  <r>
    <n v="1047"/>
    <d v="2025-05-18T00:00:00"/>
    <x v="1"/>
    <x v="2"/>
    <n v="6"/>
    <n v="300"/>
    <n v="90"/>
  </r>
  <r>
    <n v="1048"/>
    <d v="2025-05-21T00:00:00"/>
    <x v="2"/>
    <x v="3"/>
    <n v="5"/>
    <n v="500"/>
    <n v="150"/>
  </r>
  <r>
    <n v="1049"/>
    <d v="2025-05-24T00:00:00"/>
    <x v="3"/>
    <x v="0"/>
    <n v="2"/>
    <n v="1000"/>
    <n v="240"/>
  </r>
  <r>
    <n v="1050"/>
    <d v="2025-05-27T00:00:00"/>
    <x v="4"/>
    <x v="1"/>
    <n v="1"/>
    <n v="400"/>
    <n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AF06A5-41E9-46BD-9D6C-406D404A2BF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7">
    <pivotField showAll="0"/>
    <pivotField numFmtId="15" showAll="0"/>
    <pivotField showAll="0"/>
    <pivotField axis="axisRow" showAll="0">
      <items count="5">
        <item x="2"/>
        <item x="1"/>
        <item x="0"/>
        <item x="3"/>
        <item t="default"/>
      </items>
    </pivotField>
    <pivotField showAll="0"/>
    <pivotField dataField="1" showAll="0"/>
    <pivotField showAll="0"/>
  </pivotFields>
  <rowFields count="1">
    <field x="3"/>
  </rowFields>
  <rowItems count="5">
    <i>
      <x/>
    </i>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52C80-39F5-4A38-920E-E4FD15B2BF4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7">
    <pivotField showAll="0"/>
    <pivotField numFmtId="15" showAll="0"/>
    <pivotField axis="axisRow" showAll="0">
      <items count="6">
        <item x="2"/>
        <item x="0"/>
        <item x="3"/>
        <item x="1"/>
        <item x="4"/>
        <item t="default"/>
      </items>
    </pivotField>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Sales" fld="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CEFBA-F750-4043-981B-328B7F89CDBA}"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7">
    <pivotField showAll="0"/>
    <pivotField numFmtId="15" showAll="0"/>
    <pivotField axis="axisRow" showAll="0">
      <items count="6">
        <item x="2"/>
        <item x="0"/>
        <item x="3"/>
        <item x="1"/>
        <item x="4"/>
        <item t="default"/>
      </items>
    </pivotField>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67A968-8777-4F82-A4AA-4690B1E6C75A}"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1:C67" firstHeaderRow="1" firstDataRow="1" firstDataCol="1"/>
  <pivotFields count="7">
    <pivotField showAll="0"/>
    <pivotField numFmtId="15" showAll="0"/>
    <pivotField axis="axisRow" showAll="0">
      <items count="6">
        <item x="2"/>
        <item x="0"/>
        <item x="3"/>
        <item x="1"/>
        <item x="4"/>
        <item t="default"/>
      </items>
    </pivotField>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Sales" fld="5" baseField="0" baseItem="0"/>
  </dataFields>
  <formats count="18">
    <format dxfId="230">
      <pivotArea type="all" dataOnly="0" outline="0" fieldPosition="0"/>
    </format>
    <format dxfId="229">
      <pivotArea outline="0" collapsedLevelsAreSubtotals="1" fieldPosition="0"/>
    </format>
    <format dxfId="228">
      <pivotArea field="2" type="button" dataOnly="0" labelOnly="1" outline="0" axis="axisRow" fieldPosition="0"/>
    </format>
    <format dxfId="227">
      <pivotArea dataOnly="0" labelOnly="1" fieldPosition="0">
        <references count="1">
          <reference field="2" count="0"/>
        </references>
      </pivotArea>
    </format>
    <format dxfId="226">
      <pivotArea dataOnly="0" labelOnly="1" grandRow="1" outline="0" fieldPosition="0"/>
    </format>
    <format dxfId="225">
      <pivotArea dataOnly="0" labelOnly="1" outline="0" axis="axisValues" fieldPosition="0"/>
    </format>
    <format dxfId="200">
      <pivotArea type="all" dataOnly="0" outline="0" fieldPosition="0"/>
    </format>
    <format dxfId="199">
      <pivotArea outline="0" collapsedLevelsAreSubtotals="1" fieldPosition="0"/>
    </format>
    <format dxfId="198">
      <pivotArea field="2" type="button" dataOnly="0" labelOnly="1" outline="0" axis="axisRow" fieldPosition="0"/>
    </format>
    <format dxfId="197">
      <pivotArea dataOnly="0" labelOnly="1" fieldPosition="0">
        <references count="1">
          <reference field="2" count="0"/>
        </references>
      </pivotArea>
    </format>
    <format dxfId="196">
      <pivotArea dataOnly="0" labelOnly="1" grandRow="1" outline="0" fieldPosition="0"/>
    </format>
    <format dxfId="195">
      <pivotArea dataOnly="0" labelOnly="1" outline="0" axis="axisValues" fieldPosition="0"/>
    </format>
    <format dxfId="193">
      <pivotArea type="all" dataOnly="0" outline="0" fieldPosition="0"/>
    </format>
    <format dxfId="192">
      <pivotArea outline="0" collapsedLevelsAreSubtotals="1" fieldPosition="0"/>
    </format>
    <format dxfId="191">
      <pivotArea field="2" type="button" dataOnly="0" labelOnly="1" outline="0" axis="axisRow" fieldPosition="0"/>
    </format>
    <format dxfId="190">
      <pivotArea dataOnly="0" labelOnly="1" fieldPosition="0">
        <references count="1">
          <reference field="2" count="0"/>
        </references>
      </pivotArea>
    </format>
    <format dxfId="189">
      <pivotArea dataOnly="0" labelOnly="1" grandRow="1" outline="0" fieldPosition="0"/>
    </format>
    <format dxfId="18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57966-2C67-4ACC-BD50-A9A8AC7C8C7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0:C45" firstHeaderRow="1" firstDataRow="1" firstDataCol="1"/>
  <pivotFields count="7">
    <pivotField showAll="0"/>
    <pivotField numFmtId="15" showAll="0"/>
    <pivotField showAll="0"/>
    <pivotField axis="axisRow" showAll="0">
      <items count="5">
        <item x="2"/>
        <item x="1"/>
        <item x="0"/>
        <item x="3"/>
        <item t="default"/>
      </items>
    </pivotField>
    <pivotField showAll="0"/>
    <pivotField dataField="1" showAll="0"/>
    <pivotField showAll="0"/>
  </pivotFields>
  <rowFields count="1">
    <field x="3"/>
  </rowFields>
  <rowItems count="5">
    <i>
      <x/>
    </i>
    <i>
      <x v="1"/>
    </i>
    <i>
      <x v="2"/>
    </i>
    <i>
      <x v="3"/>
    </i>
    <i t="grand">
      <x/>
    </i>
  </rowItems>
  <colItems count="1">
    <i/>
  </colItems>
  <dataFields count="1">
    <dataField name="Sum of Sales" fld="5" baseField="0" baseItem="0"/>
  </dataFields>
  <formats count="12">
    <format dxfId="236">
      <pivotArea type="all" dataOnly="0" outline="0" fieldPosition="0"/>
    </format>
    <format dxfId="235">
      <pivotArea outline="0" collapsedLevelsAreSubtotals="1" fieldPosition="0"/>
    </format>
    <format dxfId="234">
      <pivotArea field="3" type="button" dataOnly="0" labelOnly="1" outline="0" axis="axisRow" fieldPosition="0"/>
    </format>
    <format dxfId="233">
      <pivotArea dataOnly="0" labelOnly="1" fieldPosition="0">
        <references count="1">
          <reference field="3" count="0"/>
        </references>
      </pivotArea>
    </format>
    <format dxfId="232">
      <pivotArea dataOnly="0" labelOnly="1" grandRow="1" outline="0" fieldPosition="0"/>
    </format>
    <format dxfId="231">
      <pivotArea dataOnly="0" labelOnly="1" outline="0" axis="axisValues" fieldPosition="0"/>
    </format>
    <format dxfId="186">
      <pivotArea type="all" dataOnly="0" outline="0" fieldPosition="0"/>
    </format>
    <format dxfId="185">
      <pivotArea outline="0" collapsedLevelsAreSubtotals="1" fieldPosition="0"/>
    </format>
    <format dxfId="184">
      <pivotArea field="3" type="button" dataOnly="0" labelOnly="1" outline="0" axis="axisRow" fieldPosition="0"/>
    </format>
    <format dxfId="183">
      <pivotArea dataOnly="0" labelOnly="1" fieldPosition="0">
        <references count="1">
          <reference field="3" count="0"/>
        </references>
      </pivotArea>
    </format>
    <format dxfId="182">
      <pivotArea dataOnly="0" labelOnly="1" grandRow="1" outline="0" fieldPosition="0"/>
    </format>
    <format dxfId="18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B381E3-A123-4403-B63A-F36C66581E92}"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0:C26" firstHeaderRow="1" firstDataRow="1" firstDataCol="1"/>
  <pivotFields count="7">
    <pivotField showAll="0"/>
    <pivotField numFmtId="15" showAll="0"/>
    <pivotField axis="axisRow" showAll="0">
      <items count="6">
        <item x="2"/>
        <item x="0"/>
        <item x="3"/>
        <item x="1"/>
        <item x="4"/>
        <item t="default"/>
      </items>
    </pivotField>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Sales" fld="5" baseField="0" baseItem="0"/>
  </dataFields>
  <formats count="6">
    <format dxfId="242">
      <pivotArea type="all" dataOnly="0" outline="0" fieldPosition="0"/>
    </format>
    <format dxfId="241">
      <pivotArea outline="0" collapsedLevelsAreSubtotals="1" fieldPosition="0"/>
    </format>
    <format dxfId="240">
      <pivotArea field="2" type="button" dataOnly="0" labelOnly="1" outline="0" axis="axisRow" fieldPosition="0"/>
    </format>
    <format dxfId="239">
      <pivotArea dataOnly="0" labelOnly="1" fieldPosition="0">
        <references count="1">
          <reference field="2" count="0"/>
        </references>
      </pivotArea>
    </format>
    <format dxfId="238">
      <pivotArea dataOnly="0" labelOnly="1" grandRow="1" outline="0" fieldPosition="0"/>
    </format>
    <format dxfId="237">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9184D66-147A-4752-B34C-E0CC2755B335}" sourceName="Product">
  <pivotTables>
    <pivotTable tabId="2" name="PivotTable3"/>
  </pivotTables>
  <data>
    <tabular pivotCacheId="854191762">
      <items count="5">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1C5A25-E197-41AD-B3F6-27CF0B05EFC2}" sourceName="Region">
  <pivotTables>
    <pivotTable tabId="2" name="PivotTable4"/>
  </pivotTables>
  <data>
    <tabular pivotCacheId="85419176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F051B55-1145-412B-B2A7-AB60591299EB}" cache="Slicer_Product" caption="Product" rowHeight="234950"/>
  <slicer name="Region" xr10:uid="{46BE0FC3-805B-48E2-B85B-2D4B4F1DBC0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BB6068-ECE6-4E79-85D1-ECC906EF7F1E}" name="Table1" displayName="Table1" ref="A1:G51" totalsRowShown="0">
  <autoFilter ref="A1:G51" xr:uid="{37BB6068-ECE6-4E79-85D1-ECC906EF7F1E}"/>
  <tableColumns count="7">
    <tableColumn id="1" xr3:uid="{A5DDB590-4C87-4D6B-90DC-EA0AF7719A06}" name="Order ID"/>
    <tableColumn id="2" xr3:uid="{20B9728B-8BE6-41C6-AFFB-57AD7A607454}" name="Date" dataDxfId="243"/>
    <tableColumn id="3" xr3:uid="{6153F0A6-1CD1-4903-AF31-2E311C275144}" name="Product"/>
    <tableColumn id="4" xr3:uid="{258325AE-632A-4206-9546-F689D42F076B}" name="Region"/>
    <tableColumn id="5" xr3:uid="{2C2EADE1-024B-4C0A-9C78-C7832DC488F1}" name="Quantity"/>
    <tableColumn id="6" xr3:uid="{59F8E803-C488-4075-82AB-CBABBE0D8838}" name="Sales"/>
    <tableColumn id="7" xr3:uid="{70823487-F452-48F5-848F-4A5590D2E76A}"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4.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5D943-E8F0-4AD9-8A38-58243C769745}">
  <dimension ref="A3:B8"/>
  <sheetViews>
    <sheetView topLeftCell="A4" zoomScaleNormal="100" workbookViewId="0">
      <selection activeCell="A3" sqref="A3:H28"/>
    </sheetView>
  </sheetViews>
  <sheetFormatPr defaultRowHeight="14.4" x14ac:dyDescent="0.3"/>
  <cols>
    <col min="1" max="1" width="12.5546875" bestFit="1" customWidth="1"/>
    <col min="2" max="2" width="11.6640625" bestFit="1" customWidth="1"/>
  </cols>
  <sheetData>
    <row r="3" spans="1:2" x14ac:dyDescent="0.3">
      <c r="A3" s="2" t="s">
        <v>19</v>
      </c>
      <c r="B3" t="s">
        <v>21</v>
      </c>
    </row>
    <row r="4" spans="1:2" x14ac:dyDescent="0.3">
      <c r="A4" s="3" t="s">
        <v>12</v>
      </c>
      <c r="B4" s="4">
        <v>8100</v>
      </c>
    </row>
    <row r="5" spans="1:2" x14ac:dyDescent="0.3">
      <c r="A5" s="3" t="s">
        <v>10</v>
      </c>
      <c r="B5" s="4">
        <v>7200</v>
      </c>
    </row>
    <row r="6" spans="1:2" x14ac:dyDescent="0.3">
      <c r="A6" s="3" t="s">
        <v>8</v>
      </c>
      <c r="B6" s="4">
        <v>10550</v>
      </c>
    </row>
    <row r="7" spans="1:2" x14ac:dyDescent="0.3">
      <c r="A7" s="3" t="s">
        <v>14</v>
      </c>
      <c r="B7" s="4">
        <v>6250</v>
      </c>
    </row>
    <row r="8" spans="1:2" x14ac:dyDescent="0.3">
      <c r="A8" s="3" t="s">
        <v>20</v>
      </c>
      <c r="B8" s="4">
        <v>32100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8932-CA0E-45C1-9D84-8AF8F83E721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7D433-F44A-413E-82E8-858165CEA740}">
  <dimension ref="A3:B9"/>
  <sheetViews>
    <sheetView topLeftCell="B2" workbookViewId="0">
      <selection activeCell="A3" sqref="A3:G26"/>
    </sheetView>
  </sheetViews>
  <sheetFormatPr defaultRowHeight="14.4" x14ac:dyDescent="0.3"/>
  <cols>
    <col min="1" max="1" width="12.5546875" bestFit="1" customWidth="1"/>
    <col min="2" max="2" width="11.6640625" bestFit="1" customWidth="1"/>
  </cols>
  <sheetData>
    <row r="3" spans="1:2" x14ac:dyDescent="0.3">
      <c r="A3" s="2" t="s">
        <v>19</v>
      </c>
      <c r="B3" t="s">
        <v>21</v>
      </c>
    </row>
    <row r="4" spans="1:2" x14ac:dyDescent="0.3">
      <c r="A4" s="3" t="s">
        <v>11</v>
      </c>
      <c r="B4" s="4">
        <v>4100</v>
      </c>
    </row>
    <row r="5" spans="1:2" x14ac:dyDescent="0.3">
      <c r="A5" s="3" t="s">
        <v>7</v>
      </c>
      <c r="B5" s="4">
        <v>12000</v>
      </c>
    </row>
    <row r="6" spans="1:2" x14ac:dyDescent="0.3">
      <c r="A6" s="3" t="s">
        <v>13</v>
      </c>
      <c r="B6" s="4">
        <v>7500</v>
      </c>
    </row>
    <row r="7" spans="1:2" x14ac:dyDescent="0.3">
      <c r="A7" s="3" t="s">
        <v>9</v>
      </c>
      <c r="B7" s="4">
        <v>2500</v>
      </c>
    </row>
    <row r="8" spans="1:2" x14ac:dyDescent="0.3">
      <c r="A8" s="3" t="s">
        <v>15</v>
      </c>
      <c r="B8" s="4">
        <v>6000</v>
      </c>
    </row>
    <row r="9" spans="1:2" x14ac:dyDescent="0.3">
      <c r="A9" s="3" t="s">
        <v>20</v>
      </c>
      <c r="B9" s="4">
        <v>32100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7BDD6-F145-48E0-8BDC-A71646A3A299}">
  <dimension ref="A3:B9"/>
  <sheetViews>
    <sheetView workbookViewId="0">
      <selection activeCell="A2" sqref="A2:G27"/>
    </sheetView>
  </sheetViews>
  <sheetFormatPr defaultRowHeight="14.4" x14ac:dyDescent="0.3"/>
  <cols>
    <col min="1" max="1" width="12.5546875" bestFit="1" customWidth="1"/>
    <col min="2" max="2" width="11.6640625" bestFit="1" customWidth="1"/>
  </cols>
  <sheetData>
    <row r="3" spans="1:2" x14ac:dyDescent="0.3">
      <c r="A3" s="2" t="s">
        <v>19</v>
      </c>
      <c r="B3" t="s">
        <v>21</v>
      </c>
    </row>
    <row r="4" spans="1:2" x14ac:dyDescent="0.3">
      <c r="A4" s="3" t="s">
        <v>11</v>
      </c>
      <c r="B4" s="4">
        <v>4100</v>
      </c>
    </row>
    <row r="5" spans="1:2" x14ac:dyDescent="0.3">
      <c r="A5" s="3" t="s">
        <v>7</v>
      </c>
      <c r="B5" s="4">
        <v>12000</v>
      </c>
    </row>
    <row r="6" spans="1:2" x14ac:dyDescent="0.3">
      <c r="A6" s="3" t="s">
        <v>13</v>
      </c>
      <c r="B6" s="4">
        <v>7500</v>
      </c>
    </row>
    <row r="7" spans="1:2" x14ac:dyDescent="0.3">
      <c r="A7" s="3" t="s">
        <v>9</v>
      </c>
      <c r="B7" s="4">
        <v>2500</v>
      </c>
    </row>
    <row r="8" spans="1:2" x14ac:dyDescent="0.3">
      <c r="A8" s="3" t="s">
        <v>15</v>
      </c>
      <c r="B8" s="4">
        <v>6000</v>
      </c>
    </row>
    <row r="9" spans="1:2" x14ac:dyDescent="0.3">
      <c r="A9" s="3" t="s">
        <v>20</v>
      </c>
      <c r="B9" s="4">
        <v>32100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1D440-4E2D-4DE9-B4E9-8A230EC10404}">
  <dimension ref="A1:G51"/>
  <sheetViews>
    <sheetView topLeftCell="A2" zoomScale="87" zoomScaleNormal="100" workbookViewId="0">
      <selection activeCell="B24" sqref="B24"/>
    </sheetView>
  </sheetViews>
  <sheetFormatPr defaultRowHeight="14.4" x14ac:dyDescent="0.3"/>
  <cols>
    <col min="1" max="1" width="10.33203125" customWidth="1"/>
    <col min="2" max="2" width="9.88671875" bestFit="1" customWidth="1"/>
    <col min="3" max="3" width="10" customWidth="1"/>
    <col min="5" max="5" width="10.77734375" customWidth="1"/>
  </cols>
  <sheetData>
    <row r="1" spans="1:7" x14ac:dyDescent="0.3">
      <c r="A1" t="s">
        <v>0</v>
      </c>
      <c r="B1" t="s">
        <v>1</v>
      </c>
      <c r="C1" t="s">
        <v>2</v>
      </c>
      <c r="D1" t="s">
        <v>3</v>
      </c>
      <c r="E1" t="s">
        <v>4</v>
      </c>
      <c r="F1" t="s">
        <v>5</v>
      </c>
      <c r="G1" t="s">
        <v>6</v>
      </c>
    </row>
    <row r="2" spans="1:7" x14ac:dyDescent="0.3">
      <c r="A2">
        <v>1001</v>
      </c>
      <c r="B2" s="1">
        <v>45658</v>
      </c>
      <c r="C2" t="s">
        <v>7</v>
      </c>
      <c r="D2" t="s">
        <v>8</v>
      </c>
      <c r="E2">
        <v>2</v>
      </c>
      <c r="F2">
        <v>1000</v>
      </c>
      <c r="G2">
        <v>200</v>
      </c>
    </row>
    <row r="3" spans="1:7" x14ac:dyDescent="0.3">
      <c r="A3">
        <v>1002</v>
      </c>
      <c r="B3" s="1">
        <v>45660</v>
      </c>
      <c r="C3" t="s">
        <v>9</v>
      </c>
      <c r="D3" t="s">
        <v>10</v>
      </c>
      <c r="E3">
        <v>5</v>
      </c>
      <c r="F3">
        <v>250</v>
      </c>
      <c r="G3">
        <v>75</v>
      </c>
    </row>
    <row r="4" spans="1:7" x14ac:dyDescent="0.3">
      <c r="A4">
        <v>1003</v>
      </c>
      <c r="B4" s="1">
        <v>45662</v>
      </c>
      <c r="C4" t="s">
        <v>11</v>
      </c>
      <c r="D4" t="s">
        <v>12</v>
      </c>
      <c r="E4">
        <v>3</v>
      </c>
      <c r="F4">
        <v>300</v>
      </c>
      <c r="G4">
        <v>90</v>
      </c>
    </row>
    <row r="5" spans="1:7" x14ac:dyDescent="0.3">
      <c r="A5">
        <v>1004</v>
      </c>
      <c r="B5" s="1">
        <v>45664</v>
      </c>
      <c r="C5" t="s">
        <v>13</v>
      </c>
      <c r="D5" t="s">
        <v>14</v>
      </c>
      <c r="E5">
        <v>1</v>
      </c>
      <c r="F5">
        <v>500</v>
      </c>
      <c r="G5">
        <v>120</v>
      </c>
    </row>
    <row r="6" spans="1:7" x14ac:dyDescent="0.3">
      <c r="A6">
        <v>1005</v>
      </c>
      <c r="B6" s="1">
        <v>45667</v>
      </c>
      <c r="C6" t="s">
        <v>15</v>
      </c>
      <c r="D6" t="s">
        <v>8</v>
      </c>
      <c r="E6">
        <v>2</v>
      </c>
      <c r="F6">
        <v>800</v>
      </c>
      <c r="G6">
        <v>160</v>
      </c>
    </row>
    <row r="7" spans="1:7" x14ac:dyDescent="0.3">
      <c r="A7">
        <v>1006</v>
      </c>
      <c r="B7" s="1">
        <v>45669</v>
      </c>
      <c r="C7" t="s">
        <v>7</v>
      </c>
      <c r="D7" t="s">
        <v>10</v>
      </c>
      <c r="E7">
        <v>3</v>
      </c>
      <c r="F7">
        <v>1500</v>
      </c>
      <c r="G7">
        <v>300</v>
      </c>
    </row>
    <row r="8" spans="1:7" x14ac:dyDescent="0.3">
      <c r="A8">
        <v>1007</v>
      </c>
      <c r="B8" s="1">
        <v>45672</v>
      </c>
      <c r="C8" t="s">
        <v>9</v>
      </c>
      <c r="D8" t="s">
        <v>12</v>
      </c>
      <c r="E8">
        <v>4</v>
      </c>
      <c r="F8">
        <v>200</v>
      </c>
      <c r="G8">
        <v>60</v>
      </c>
    </row>
    <row r="9" spans="1:7" x14ac:dyDescent="0.3">
      <c r="A9">
        <v>1008</v>
      </c>
      <c r="B9" s="1">
        <v>45675</v>
      </c>
      <c r="C9" t="s">
        <v>11</v>
      </c>
      <c r="D9" t="s">
        <v>14</v>
      </c>
      <c r="E9">
        <v>5</v>
      </c>
      <c r="F9">
        <v>500</v>
      </c>
      <c r="G9">
        <v>150</v>
      </c>
    </row>
    <row r="10" spans="1:7" x14ac:dyDescent="0.3">
      <c r="A10">
        <v>1009</v>
      </c>
      <c r="B10" s="1">
        <v>45677</v>
      </c>
      <c r="C10" t="s">
        <v>13</v>
      </c>
      <c r="D10" t="s">
        <v>8</v>
      </c>
      <c r="E10">
        <v>2</v>
      </c>
      <c r="F10">
        <v>1000</v>
      </c>
      <c r="G10">
        <v>240</v>
      </c>
    </row>
    <row r="11" spans="1:7" x14ac:dyDescent="0.3">
      <c r="A11">
        <v>1010</v>
      </c>
      <c r="B11" s="1">
        <v>45679</v>
      </c>
      <c r="C11" t="s">
        <v>15</v>
      </c>
      <c r="D11" t="s">
        <v>10</v>
      </c>
      <c r="E11">
        <v>1</v>
      </c>
      <c r="F11">
        <v>400</v>
      </c>
      <c r="G11">
        <v>80</v>
      </c>
    </row>
    <row r="12" spans="1:7" x14ac:dyDescent="0.3">
      <c r="A12">
        <v>1011</v>
      </c>
      <c r="B12" s="1">
        <v>45682</v>
      </c>
      <c r="C12" t="s">
        <v>7</v>
      </c>
      <c r="D12" t="s">
        <v>12</v>
      </c>
      <c r="E12">
        <v>2</v>
      </c>
      <c r="F12">
        <v>1000</v>
      </c>
      <c r="G12">
        <v>200</v>
      </c>
    </row>
    <row r="13" spans="1:7" x14ac:dyDescent="0.3">
      <c r="A13">
        <v>1012</v>
      </c>
      <c r="B13" s="1">
        <v>45685</v>
      </c>
      <c r="C13" t="s">
        <v>9</v>
      </c>
      <c r="D13" t="s">
        <v>14</v>
      </c>
      <c r="E13">
        <v>6</v>
      </c>
      <c r="F13">
        <v>300</v>
      </c>
      <c r="G13">
        <v>90</v>
      </c>
    </row>
    <row r="14" spans="1:7" x14ac:dyDescent="0.3">
      <c r="A14">
        <v>1013</v>
      </c>
      <c r="B14" s="1">
        <v>45690</v>
      </c>
      <c r="C14" t="s">
        <v>11</v>
      </c>
      <c r="D14" t="s">
        <v>8</v>
      </c>
      <c r="E14">
        <v>4</v>
      </c>
      <c r="F14">
        <v>400</v>
      </c>
      <c r="G14">
        <v>120</v>
      </c>
    </row>
    <row r="15" spans="1:7" x14ac:dyDescent="0.3">
      <c r="A15">
        <v>1014</v>
      </c>
      <c r="B15" s="1">
        <v>45693</v>
      </c>
      <c r="C15" t="s">
        <v>13</v>
      </c>
      <c r="D15" t="s">
        <v>10</v>
      </c>
      <c r="E15">
        <v>1</v>
      </c>
      <c r="F15">
        <v>500</v>
      </c>
      <c r="G15">
        <v>120</v>
      </c>
    </row>
    <row r="16" spans="1:7" x14ac:dyDescent="0.3">
      <c r="A16">
        <v>1015</v>
      </c>
      <c r="B16" s="1">
        <v>45696</v>
      </c>
      <c r="C16" t="s">
        <v>15</v>
      </c>
      <c r="D16" t="s">
        <v>12</v>
      </c>
      <c r="E16">
        <v>2</v>
      </c>
      <c r="F16">
        <v>800</v>
      </c>
      <c r="G16">
        <v>160</v>
      </c>
    </row>
    <row r="17" spans="1:7" x14ac:dyDescent="0.3">
      <c r="A17">
        <v>1016</v>
      </c>
      <c r="B17" s="1">
        <v>45699</v>
      </c>
      <c r="C17" t="s">
        <v>7</v>
      </c>
      <c r="D17" t="s">
        <v>14</v>
      </c>
      <c r="E17">
        <v>2</v>
      </c>
      <c r="F17">
        <v>1000</v>
      </c>
      <c r="G17">
        <v>200</v>
      </c>
    </row>
    <row r="18" spans="1:7" x14ac:dyDescent="0.3">
      <c r="A18">
        <v>1017</v>
      </c>
      <c r="B18" s="1">
        <v>45702</v>
      </c>
      <c r="C18" t="s">
        <v>9</v>
      </c>
      <c r="D18" t="s">
        <v>8</v>
      </c>
      <c r="E18">
        <v>5</v>
      </c>
      <c r="F18">
        <v>250</v>
      </c>
      <c r="G18">
        <v>75</v>
      </c>
    </row>
    <row r="19" spans="1:7" x14ac:dyDescent="0.3">
      <c r="A19">
        <v>1018</v>
      </c>
      <c r="B19" s="1">
        <v>45705</v>
      </c>
      <c r="C19" t="s">
        <v>11</v>
      </c>
      <c r="D19" t="s">
        <v>10</v>
      </c>
      <c r="E19">
        <v>3</v>
      </c>
      <c r="F19">
        <v>300</v>
      </c>
      <c r="G19">
        <v>90</v>
      </c>
    </row>
    <row r="20" spans="1:7" x14ac:dyDescent="0.3">
      <c r="A20">
        <v>1019</v>
      </c>
      <c r="B20" s="1">
        <v>45708</v>
      </c>
      <c r="C20" t="s">
        <v>13</v>
      </c>
      <c r="D20" t="s">
        <v>12</v>
      </c>
      <c r="E20">
        <v>2</v>
      </c>
      <c r="F20">
        <v>1000</v>
      </c>
      <c r="G20">
        <v>240</v>
      </c>
    </row>
    <row r="21" spans="1:7" x14ac:dyDescent="0.3">
      <c r="A21">
        <v>1020</v>
      </c>
      <c r="B21" s="1">
        <v>45711</v>
      </c>
      <c r="C21" t="s">
        <v>15</v>
      </c>
      <c r="D21" t="s">
        <v>14</v>
      </c>
      <c r="E21">
        <v>1</v>
      </c>
      <c r="F21">
        <v>400</v>
      </c>
      <c r="G21">
        <v>80</v>
      </c>
    </row>
    <row r="22" spans="1:7" x14ac:dyDescent="0.3">
      <c r="A22">
        <v>1021</v>
      </c>
      <c r="B22" s="1">
        <v>45714</v>
      </c>
      <c r="C22" t="s">
        <v>7</v>
      </c>
      <c r="D22" t="s">
        <v>8</v>
      </c>
      <c r="E22">
        <v>3</v>
      </c>
      <c r="F22">
        <v>1500</v>
      </c>
      <c r="G22">
        <v>300</v>
      </c>
    </row>
    <row r="23" spans="1:7" x14ac:dyDescent="0.3">
      <c r="A23">
        <v>1022</v>
      </c>
      <c r="B23" s="1">
        <v>45717</v>
      </c>
      <c r="C23" t="s">
        <v>9</v>
      </c>
      <c r="D23" t="s">
        <v>10</v>
      </c>
      <c r="E23">
        <v>4</v>
      </c>
      <c r="F23">
        <v>200</v>
      </c>
      <c r="G23">
        <v>60</v>
      </c>
    </row>
    <row r="24" spans="1:7" x14ac:dyDescent="0.3">
      <c r="A24">
        <v>1023</v>
      </c>
      <c r="B24" s="1">
        <v>45720</v>
      </c>
      <c r="C24" t="s">
        <v>11</v>
      </c>
      <c r="D24" t="s">
        <v>12</v>
      </c>
      <c r="E24">
        <v>5</v>
      </c>
      <c r="F24">
        <v>500</v>
      </c>
      <c r="G24">
        <v>150</v>
      </c>
    </row>
    <row r="25" spans="1:7" x14ac:dyDescent="0.3">
      <c r="A25">
        <v>1024</v>
      </c>
      <c r="B25" s="1">
        <v>45723</v>
      </c>
      <c r="C25" t="s">
        <v>13</v>
      </c>
      <c r="D25" t="s">
        <v>14</v>
      </c>
      <c r="E25">
        <v>1</v>
      </c>
      <c r="F25">
        <v>500</v>
      </c>
      <c r="G25">
        <v>120</v>
      </c>
    </row>
    <row r="26" spans="1:7" x14ac:dyDescent="0.3">
      <c r="A26">
        <v>1025</v>
      </c>
      <c r="B26" s="1">
        <v>45726</v>
      </c>
      <c r="C26" t="s">
        <v>15</v>
      </c>
      <c r="D26" t="s">
        <v>8</v>
      </c>
      <c r="E26">
        <v>2</v>
      </c>
      <c r="F26">
        <v>800</v>
      </c>
      <c r="G26">
        <v>160</v>
      </c>
    </row>
    <row r="27" spans="1:7" x14ac:dyDescent="0.3">
      <c r="A27">
        <v>1026</v>
      </c>
      <c r="B27" s="1">
        <v>45729</v>
      </c>
      <c r="C27" t="s">
        <v>7</v>
      </c>
      <c r="D27" t="s">
        <v>10</v>
      </c>
      <c r="E27">
        <v>2</v>
      </c>
      <c r="F27">
        <v>1000</v>
      </c>
      <c r="G27">
        <v>200</v>
      </c>
    </row>
    <row r="28" spans="1:7" x14ac:dyDescent="0.3">
      <c r="A28">
        <v>1027</v>
      </c>
      <c r="B28" s="1">
        <v>45732</v>
      </c>
      <c r="C28" t="s">
        <v>9</v>
      </c>
      <c r="D28" t="s">
        <v>12</v>
      </c>
      <c r="E28">
        <v>6</v>
      </c>
      <c r="F28">
        <v>300</v>
      </c>
      <c r="G28">
        <v>90</v>
      </c>
    </row>
    <row r="29" spans="1:7" x14ac:dyDescent="0.3">
      <c r="A29">
        <v>1028</v>
      </c>
      <c r="B29" s="1">
        <v>45735</v>
      </c>
      <c r="C29" t="s">
        <v>11</v>
      </c>
      <c r="D29" t="s">
        <v>14</v>
      </c>
      <c r="E29">
        <v>4</v>
      </c>
      <c r="F29">
        <v>400</v>
      </c>
      <c r="G29">
        <v>120</v>
      </c>
    </row>
    <row r="30" spans="1:7" x14ac:dyDescent="0.3">
      <c r="A30">
        <v>1029</v>
      </c>
      <c r="B30" s="1">
        <v>45738</v>
      </c>
      <c r="C30" t="s">
        <v>13</v>
      </c>
      <c r="D30" t="s">
        <v>8</v>
      </c>
      <c r="E30">
        <v>2</v>
      </c>
      <c r="F30">
        <v>1000</v>
      </c>
      <c r="G30">
        <v>240</v>
      </c>
    </row>
    <row r="31" spans="1:7" x14ac:dyDescent="0.3">
      <c r="A31">
        <v>1030</v>
      </c>
      <c r="B31" s="1">
        <v>45741</v>
      </c>
      <c r="C31" t="s">
        <v>15</v>
      </c>
      <c r="D31" t="s">
        <v>10</v>
      </c>
      <c r="E31">
        <v>1</v>
      </c>
      <c r="F31">
        <v>400</v>
      </c>
      <c r="G31">
        <v>80</v>
      </c>
    </row>
    <row r="32" spans="1:7" x14ac:dyDescent="0.3">
      <c r="A32">
        <v>1031</v>
      </c>
      <c r="B32" s="1">
        <v>45744</v>
      </c>
      <c r="C32" t="s">
        <v>7</v>
      </c>
      <c r="D32" t="s">
        <v>12</v>
      </c>
      <c r="E32">
        <v>3</v>
      </c>
      <c r="F32">
        <v>1500</v>
      </c>
      <c r="G32">
        <v>300</v>
      </c>
    </row>
    <row r="33" spans="1:7" x14ac:dyDescent="0.3">
      <c r="A33">
        <v>1032</v>
      </c>
      <c r="B33" s="1">
        <v>45749</v>
      </c>
      <c r="C33" t="s">
        <v>9</v>
      </c>
      <c r="D33" t="s">
        <v>14</v>
      </c>
      <c r="E33">
        <v>5</v>
      </c>
      <c r="F33">
        <v>250</v>
      </c>
      <c r="G33">
        <v>75</v>
      </c>
    </row>
    <row r="34" spans="1:7" x14ac:dyDescent="0.3">
      <c r="A34">
        <v>1033</v>
      </c>
      <c r="B34" s="1">
        <v>45752</v>
      </c>
      <c r="C34" t="s">
        <v>11</v>
      </c>
      <c r="D34" t="s">
        <v>8</v>
      </c>
      <c r="E34">
        <v>3</v>
      </c>
      <c r="F34">
        <v>300</v>
      </c>
      <c r="G34">
        <v>90</v>
      </c>
    </row>
    <row r="35" spans="1:7" x14ac:dyDescent="0.3">
      <c r="A35">
        <v>1034</v>
      </c>
      <c r="B35" s="1">
        <v>45755</v>
      </c>
      <c r="C35" t="s">
        <v>13</v>
      </c>
      <c r="D35" t="s">
        <v>10</v>
      </c>
      <c r="E35">
        <v>1</v>
      </c>
      <c r="F35">
        <v>500</v>
      </c>
      <c r="G35">
        <v>120</v>
      </c>
    </row>
    <row r="36" spans="1:7" x14ac:dyDescent="0.3">
      <c r="A36">
        <v>1035</v>
      </c>
      <c r="B36" s="1">
        <v>45758</v>
      </c>
      <c r="C36" t="s">
        <v>15</v>
      </c>
      <c r="D36" t="s">
        <v>12</v>
      </c>
      <c r="E36">
        <v>2</v>
      </c>
      <c r="F36">
        <v>800</v>
      </c>
      <c r="G36">
        <v>160</v>
      </c>
    </row>
    <row r="37" spans="1:7" x14ac:dyDescent="0.3">
      <c r="A37">
        <v>1036</v>
      </c>
      <c r="B37" s="1">
        <v>45761</v>
      </c>
      <c r="C37" t="s">
        <v>7</v>
      </c>
      <c r="D37" t="s">
        <v>14</v>
      </c>
      <c r="E37">
        <v>2</v>
      </c>
      <c r="F37">
        <v>1000</v>
      </c>
      <c r="G37">
        <v>200</v>
      </c>
    </row>
    <row r="38" spans="1:7" x14ac:dyDescent="0.3">
      <c r="A38">
        <v>1037</v>
      </c>
      <c r="B38" s="1">
        <v>45764</v>
      </c>
      <c r="C38" t="s">
        <v>9</v>
      </c>
      <c r="D38" t="s">
        <v>8</v>
      </c>
      <c r="E38">
        <v>4</v>
      </c>
      <c r="F38">
        <v>200</v>
      </c>
      <c r="G38">
        <v>60</v>
      </c>
    </row>
    <row r="39" spans="1:7" x14ac:dyDescent="0.3">
      <c r="A39">
        <v>1038</v>
      </c>
      <c r="B39" s="1">
        <v>45767</v>
      </c>
      <c r="C39" t="s">
        <v>11</v>
      </c>
      <c r="D39" t="s">
        <v>10</v>
      </c>
      <c r="E39">
        <v>5</v>
      </c>
      <c r="F39">
        <v>500</v>
      </c>
      <c r="G39">
        <v>150</v>
      </c>
    </row>
    <row r="40" spans="1:7" x14ac:dyDescent="0.3">
      <c r="A40">
        <v>1039</v>
      </c>
      <c r="B40" s="1">
        <v>45770</v>
      </c>
      <c r="C40" t="s">
        <v>13</v>
      </c>
      <c r="D40" t="s">
        <v>12</v>
      </c>
      <c r="E40">
        <v>2</v>
      </c>
      <c r="F40">
        <v>1000</v>
      </c>
      <c r="G40">
        <v>240</v>
      </c>
    </row>
    <row r="41" spans="1:7" x14ac:dyDescent="0.3">
      <c r="A41">
        <v>1040</v>
      </c>
      <c r="B41" s="1">
        <v>45773</v>
      </c>
      <c r="C41" t="s">
        <v>15</v>
      </c>
      <c r="D41" t="s">
        <v>14</v>
      </c>
      <c r="E41">
        <v>1</v>
      </c>
      <c r="F41">
        <v>400</v>
      </c>
      <c r="G41">
        <v>80</v>
      </c>
    </row>
    <row r="42" spans="1:7" x14ac:dyDescent="0.3">
      <c r="A42">
        <v>1041</v>
      </c>
      <c r="B42" s="1">
        <v>45776</v>
      </c>
      <c r="C42" t="s">
        <v>7</v>
      </c>
      <c r="D42" t="s">
        <v>8</v>
      </c>
      <c r="E42">
        <v>3</v>
      </c>
      <c r="F42">
        <v>1500</v>
      </c>
      <c r="G42">
        <v>300</v>
      </c>
    </row>
    <row r="43" spans="1:7" x14ac:dyDescent="0.3">
      <c r="A43">
        <v>1042</v>
      </c>
      <c r="B43" s="1">
        <v>45780</v>
      </c>
      <c r="C43" t="s">
        <v>9</v>
      </c>
      <c r="D43" t="s">
        <v>10</v>
      </c>
      <c r="E43">
        <v>5</v>
      </c>
      <c r="F43">
        <v>250</v>
      </c>
      <c r="G43">
        <v>75</v>
      </c>
    </row>
    <row r="44" spans="1:7" x14ac:dyDescent="0.3">
      <c r="A44">
        <v>1043</v>
      </c>
      <c r="B44" s="1">
        <v>45783</v>
      </c>
      <c r="C44" t="s">
        <v>11</v>
      </c>
      <c r="D44" t="s">
        <v>12</v>
      </c>
      <c r="E44">
        <v>4</v>
      </c>
      <c r="F44">
        <v>400</v>
      </c>
      <c r="G44">
        <v>120</v>
      </c>
    </row>
    <row r="45" spans="1:7" x14ac:dyDescent="0.3">
      <c r="A45">
        <v>1044</v>
      </c>
      <c r="B45" s="1">
        <v>45786</v>
      </c>
      <c r="C45" t="s">
        <v>13</v>
      </c>
      <c r="D45" t="s">
        <v>14</v>
      </c>
      <c r="E45">
        <v>1</v>
      </c>
      <c r="F45">
        <v>500</v>
      </c>
      <c r="G45">
        <v>120</v>
      </c>
    </row>
    <row r="46" spans="1:7" x14ac:dyDescent="0.3">
      <c r="A46">
        <v>1045</v>
      </c>
      <c r="B46" s="1">
        <v>45789</v>
      </c>
      <c r="C46" t="s">
        <v>15</v>
      </c>
      <c r="D46" t="s">
        <v>8</v>
      </c>
      <c r="E46">
        <v>2</v>
      </c>
      <c r="F46">
        <v>800</v>
      </c>
      <c r="G46">
        <v>160</v>
      </c>
    </row>
    <row r="47" spans="1:7" x14ac:dyDescent="0.3">
      <c r="A47">
        <v>1046</v>
      </c>
      <c r="B47" s="1">
        <v>45792</v>
      </c>
      <c r="C47" t="s">
        <v>7</v>
      </c>
      <c r="D47" t="s">
        <v>10</v>
      </c>
      <c r="E47">
        <v>2</v>
      </c>
      <c r="F47">
        <v>1000</v>
      </c>
      <c r="G47">
        <v>200</v>
      </c>
    </row>
    <row r="48" spans="1:7" x14ac:dyDescent="0.3">
      <c r="A48">
        <v>1047</v>
      </c>
      <c r="B48" s="1">
        <v>45795</v>
      </c>
      <c r="C48" t="s">
        <v>9</v>
      </c>
      <c r="D48" t="s">
        <v>12</v>
      </c>
      <c r="E48">
        <v>6</v>
      </c>
      <c r="F48">
        <v>300</v>
      </c>
      <c r="G48">
        <v>90</v>
      </c>
    </row>
    <row r="49" spans="1:7" x14ac:dyDescent="0.3">
      <c r="A49">
        <v>1048</v>
      </c>
      <c r="B49" s="1">
        <v>45798</v>
      </c>
      <c r="C49" t="s">
        <v>11</v>
      </c>
      <c r="D49" t="s">
        <v>14</v>
      </c>
      <c r="E49">
        <v>5</v>
      </c>
      <c r="F49">
        <v>500</v>
      </c>
      <c r="G49">
        <v>150</v>
      </c>
    </row>
    <row r="50" spans="1:7" x14ac:dyDescent="0.3">
      <c r="A50">
        <v>1049</v>
      </c>
      <c r="B50" s="1">
        <v>45801</v>
      </c>
      <c r="C50" t="s">
        <v>13</v>
      </c>
      <c r="D50" t="s">
        <v>8</v>
      </c>
      <c r="E50">
        <v>2</v>
      </c>
      <c r="F50">
        <v>1000</v>
      </c>
      <c r="G50">
        <v>240</v>
      </c>
    </row>
    <row r="51" spans="1:7" x14ac:dyDescent="0.3">
      <c r="A51">
        <v>1050</v>
      </c>
      <c r="B51" s="1">
        <v>45804</v>
      </c>
      <c r="C51" t="s">
        <v>15</v>
      </c>
      <c r="D51" t="s">
        <v>10</v>
      </c>
      <c r="E51">
        <v>1</v>
      </c>
      <c r="F51">
        <v>400</v>
      </c>
      <c r="G51">
        <v>80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202A-73C8-4EFE-862F-2BBA6D8D73E7}">
  <dimension ref="A1:I67"/>
  <sheetViews>
    <sheetView tabSelected="1" topLeftCell="A2" zoomScale="53" workbookViewId="0">
      <selection activeCell="J51" sqref="J51"/>
    </sheetView>
  </sheetViews>
  <sheetFormatPr defaultRowHeight="14.4" x14ac:dyDescent="0.3"/>
  <cols>
    <col min="1" max="1" width="15.109375" customWidth="1"/>
    <col min="2" max="2" width="23.33203125" bestFit="1" customWidth="1"/>
    <col min="3" max="3" width="17.109375" bestFit="1" customWidth="1"/>
    <col min="4" max="4" width="26" bestFit="1" customWidth="1"/>
    <col min="5" max="5" width="17.109375" bestFit="1" customWidth="1"/>
    <col min="6" max="6" width="19.6640625" customWidth="1"/>
    <col min="7" max="7" width="16.109375" customWidth="1"/>
    <col min="8" max="8" width="13.6640625" customWidth="1"/>
    <col min="10" max="10" width="18.88671875" customWidth="1"/>
    <col min="11" max="11" width="18.21875" customWidth="1"/>
  </cols>
  <sheetData>
    <row r="1" spans="1:8" ht="31.2" x14ac:dyDescent="0.3">
      <c r="A1" s="5" t="s">
        <v>22</v>
      </c>
      <c r="B1" s="5"/>
      <c r="C1" s="5"/>
      <c r="D1" s="5"/>
      <c r="E1" s="5"/>
      <c r="F1" s="5"/>
      <c r="G1" s="5"/>
      <c r="H1" s="5"/>
    </row>
    <row r="2" spans="1:8" ht="15.6" x14ac:dyDescent="0.3">
      <c r="B2" s="10" t="s">
        <v>16</v>
      </c>
      <c r="D2" s="9" t="s">
        <v>17</v>
      </c>
      <c r="F2" s="12" t="s">
        <v>18</v>
      </c>
    </row>
    <row r="3" spans="1:8" ht="14.4" customHeight="1" x14ac:dyDescent="0.3">
      <c r="B3" s="11">
        <f>SUM(Sheet1!F:F)</f>
        <v>32100</v>
      </c>
      <c r="D3" s="8">
        <f>SUM(Sheet1!G:G)</f>
        <v>7380</v>
      </c>
      <c r="F3" s="13">
        <f>COUNTA(Sheet1!A:A)-1</f>
        <v>50</v>
      </c>
    </row>
    <row r="20" spans="2:9" x14ac:dyDescent="0.3">
      <c r="B20" s="14" t="s">
        <v>19</v>
      </c>
      <c r="C20" s="6" t="s">
        <v>21</v>
      </c>
    </row>
    <row r="21" spans="2:9" x14ac:dyDescent="0.3">
      <c r="B21" s="6" t="s">
        <v>11</v>
      </c>
      <c r="C21" s="15">
        <v>4100</v>
      </c>
    </row>
    <row r="22" spans="2:9" x14ac:dyDescent="0.3">
      <c r="B22" s="6" t="s">
        <v>7</v>
      </c>
      <c r="C22" s="15">
        <v>12000</v>
      </c>
    </row>
    <row r="23" spans="2:9" x14ac:dyDescent="0.3">
      <c r="B23" s="6" t="s">
        <v>13</v>
      </c>
      <c r="C23" s="15">
        <v>7500</v>
      </c>
    </row>
    <row r="24" spans="2:9" x14ac:dyDescent="0.3">
      <c r="B24" s="6" t="s">
        <v>9</v>
      </c>
      <c r="C24" s="15">
        <v>2500</v>
      </c>
    </row>
    <row r="25" spans="2:9" x14ac:dyDescent="0.3">
      <c r="B25" s="6" t="s">
        <v>15</v>
      </c>
      <c r="C25" s="15">
        <v>6000</v>
      </c>
    </row>
    <row r="26" spans="2:9" x14ac:dyDescent="0.3">
      <c r="B26" s="6" t="s">
        <v>20</v>
      </c>
      <c r="C26" s="15">
        <v>32100</v>
      </c>
    </row>
    <row r="31" spans="2:9" x14ac:dyDescent="0.3">
      <c r="I31" s="6"/>
    </row>
    <row r="32" spans="2:9" x14ac:dyDescent="0.3">
      <c r="I32" s="6"/>
    </row>
    <row r="33" spans="2:9" x14ac:dyDescent="0.3">
      <c r="I33" s="6"/>
    </row>
    <row r="34" spans="2:9" x14ac:dyDescent="0.3">
      <c r="I34" s="6"/>
    </row>
    <row r="35" spans="2:9" x14ac:dyDescent="0.3">
      <c r="I35" s="6"/>
    </row>
    <row r="36" spans="2:9" x14ac:dyDescent="0.3">
      <c r="I36" s="6"/>
    </row>
    <row r="37" spans="2:9" x14ac:dyDescent="0.3">
      <c r="I37" s="6"/>
    </row>
    <row r="40" spans="2:9" x14ac:dyDescent="0.3">
      <c r="B40" s="7" t="s">
        <v>19</v>
      </c>
      <c r="C40" s="7" t="s">
        <v>21</v>
      </c>
    </row>
    <row r="41" spans="2:9" x14ac:dyDescent="0.3">
      <c r="B41" s="7" t="s">
        <v>12</v>
      </c>
      <c r="C41" s="16">
        <v>8100</v>
      </c>
    </row>
    <row r="42" spans="2:9" x14ac:dyDescent="0.3">
      <c r="B42" s="7" t="s">
        <v>10</v>
      </c>
      <c r="C42" s="16">
        <v>7200</v>
      </c>
    </row>
    <row r="43" spans="2:9" x14ac:dyDescent="0.3">
      <c r="B43" s="7" t="s">
        <v>8</v>
      </c>
      <c r="C43" s="16">
        <v>10550</v>
      </c>
    </row>
    <row r="44" spans="2:9" x14ac:dyDescent="0.3">
      <c r="B44" s="7" t="s">
        <v>14</v>
      </c>
      <c r="C44" s="16">
        <v>6250</v>
      </c>
    </row>
    <row r="45" spans="2:9" x14ac:dyDescent="0.3">
      <c r="B45" s="7" t="s">
        <v>20</v>
      </c>
      <c r="C45" s="16">
        <v>32100</v>
      </c>
    </row>
    <row r="61" spans="2:3" x14ac:dyDescent="0.3">
      <c r="B61" s="7" t="s">
        <v>19</v>
      </c>
      <c r="C61" s="7" t="s">
        <v>21</v>
      </c>
    </row>
    <row r="62" spans="2:3" x14ac:dyDescent="0.3">
      <c r="B62" s="7" t="s">
        <v>11</v>
      </c>
      <c r="C62" s="16">
        <v>4100</v>
      </c>
    </row>
    <row r="63" spans="2:3" x14ac:dyDescent="0.3">
      <c r="B63" s="7" t="s">
        <v>7</v>
      </c>
      <c r="C63" s="16">
        <v>12000</v>
      </c>
    </row>
    <row r="64" spans="2:3" x14ac:dyDescent="0.3">
      <c r="B64" s="7" t="s">
        <v>13</v>
      </c>
      <c r="C64" s="16">
        <v>7500</v>
      </c>
    </row>
    <row r="65" spans="2:3" x14ac:dyDescent="0.3">
      <c r="B65" s="7" t="s">
        <v>9</v>
      </c>
      <c r="C65" s="16">
        <v>2500</v>
      </c>
    </row>
    <row r="66" spans="2:3" x14ac:dyDescent="0.3">
      <c r="B66" s="7" t="s">
        <v>15</v>
      </c>
      <c r="C66" s="16">
        <v>6000</v>
      </c>
    </row>
    <row r="67" spans="2:3" x14ac:dyDescent="0.3">
      <c r="B67" s="7" t="s">
        <v>20</v>
      </c>
      <c r="C67" s="16">
        <v>32100</v>
      </c>
    </row>
  </sheetData>
  <mergeCells count="1">
    <mergeCell ref="A1:H1"/>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Sheet6</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vasundhara dwibhasyam</dc:creator>
  <cp:lastModifiedBy>vasundhara dwibhasyam</cp:lastModifiedBy>
  <dcterms:created xsi:type="dcterms:W3CDTF">2026-06-12T15:06:21Z</dcterms:created>
  <dcterms:modified xsi:type="dcterms:W3CDTF">2026-06-12T17:03:28Z</dcterms:modified>
</cp:coreProperties>
</file>